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wanjeans/github project/Funding_rate_Aave/Jing/"/>
    </mc:Choice>
  </mc:AlternateContent>
  <xr:revisionPtr revIDLastSave="0" documentId="13_ncr:9_{DD77C55D-766F-0D46-8081-C0E1B405A739}" xr6:coauthVersionLast="47" xr6:coauthVersionMax="47" xr10:uidLastSave="{00000000-0000-0000-0000-000000000000}"/>
  <bookViews>
    <workbookView minimized="1" xWindow="440" yWindow="940" windowWidth="25100" windowHeight="14000" xr2:uid="{9ED65A63-2C41-0D43-8286-18B4CD199747}"/>
  </bookViews>
  <sheets>
    <sheet name="results_feature_importance_v2" sheetId="1" r:id="rId1"/>
  </sheets>
  <definedNames>
    <definedName name="_xlchart.v1.0" hidden="1">results_feature_importance_v2!$L$2</definedName>
    <definedName name="_xlchart.v1.1" hidden="1">results_feature_importance_v2!$L$2:$L$19</definedName>
    <definedName name="_xlchart.v1.14" hidden="1">results_feature_importance_v2!$B$2:$B$19</definedName>
    <definedName name="_xlchart.v1.15" hidden="1">results_feature_importance_v2!$C$1</definedName>
    <definedName name="_xlchart.v1.16" hidden="1">results_feature_importance_v2!$C$2:$C$19</definedName>
    <definedName name="_xlchart.v1.17" hidden="1">results_feature_importance_v2!$D$1</definedName>
    <definedName name="_xlchart.v1.18" hidden="1">results_feature_importance_v2!$D$2:$D$19</definedName>
    <definedName name="_xlchart.v1.19" hidden="1">results_feature_importance_v2!$E$1</definedName>
    <definedName name="_xlchart.v1.2" hidden="1">results_feature_importance_v2!$M$2:$M$19</definedName>
    <definedName name="_xlchart.v1.20" hidden="1">results_feature_importance_v2!$E$2:$E$19</definedName>
    <definedName name="_xlchart.v1.21" hidden="1">results_feature_importance_v2!$F$1</definedName>
    <definedName name="_xlchart.v1.22" hidden="1">results_feature_importance_v2!$F$2:$F$19</definedName>
    <definedName name="_xlchart.v1.23" hidden="1">results_feature_importance_v2!$C$2</definedName>
    <definedName name="_xlchart.v1.24" hidden="1">results_feature_importance_v2!$C$2:$C$19</definedName>
    <definedName name="_xlchart.v1.25" hidden="1">results_feature_importance_v2!$D$2:$D$19</definedName>
    <definedName name="_xlchart.v1.26" hidden="1">results_feature_importance_v2!$E$2:$E$19</definedName>
    <definedName name="_xlchart.v1.27" hidden="1">results_feature_importance_v2!$F$2:$F$19</definedName>
    <definedName name="_xlchart.v1.28" hidden="1">results_feature_importance_v2!$L$2:$L$19</definedName>
    <definedName name="_xlchart.v1.29" hidden="1">results_feature_importance_v2!$M$2:$M$19</definedName>
    <definedName name="_xlchart.v1.3" hidden="1">results_feature_importance_v2!$N$2:$N$19</definedName>
    <definedName name="_xlchart.v1.30" hidden="1">results_feature_importance_v2!$N$2:$N$19</definedName>
    <definedName name="_xlchart.v1.31" hidden="1">results_feature_importance_v2!$O$2:$O$19</definedName>
    <definedName name="_xlchart.v1.4" hidden="1">results_feature_importance_v2!$O$2:$O$19</definedName>
    <definedName name="_xlchart.v2.10" hidden="1">results_feature_importance_v2!$E$1</definedName>
    <definedName name="_xlchart.v2.11" hidden="1">results_feature_importance_v2!$E$2:$E$19</definedName>
    <definedName name="_xlchart.v2.12" hidden="1">results_feature_importance_v2!$F$1</definedName>
    <definedName name="_xlchart.v2.13" hidden="1">results_feature_importance_v2!$F$2:$F$19</definedName>
    <definedName name="_xlchart.v2.5" hidden="1">results_feature_importance_v2!$B$2:$B$19</definedName>
    <definedName name="_xlchart.v2.6" hidden="1">results_feature_importance_v2!$C$1</definedName>
    <definedName name="_xlchart.v2.7" hidden="1">results_feature_importance_v2!$C$2:$C$19</definedName>
    <definedName name="_xlchart.v2.8" hidden="1">results_feature_importance_v2!$D$1</definedName>
    <definedName name="_xlchart.v2.9" hidden="1">results_feature_importance_v2!$D$2:$D$19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" i="1"/>
</calcChain>
</file>

<file path=xl/sharedStrings.xml><?xml version="1.0" encoding="utf-8"?>
<sst xmlns="http://schemas.openxmlformats.org/spreadsheetml/2006/main" count="133" uniqueCount="109">
  <si>
    <t>columns</t>
  </si>
  <si>
    <t>total_windows</t>
  </si>
  <si>
    <t>input_window</t>
  </si>
  <si>
    <t>output_window</t>
  </si>
  <si>
    <t>outlier_threshold</t>
  </si>
  <si>
    <t>accuracy</t>
  </si>
  <si>
    <t>precision</t>
  </si>
  <si>
    <t>recall</t>
  </si>
  <si>
    <t>f1</t>
  </si>
  <si>
    <t>['lending_rate', 'borrowing_rate', 'utilization_rate', 'close', 'volume', 'yield', 'market_cap', 'Month_Sine', 'Month_Cosine', 'Day_Sine', 'Day_Cosine', 'Hour_Sine', 'Hour_Cosine', 'DayofWeek_Sine', 'DayofWeek_Cosine', 'attention', 'returns']</t>
  </si>
  <si>
    <t>remove</t>
  </si>
  <si>
    <t>0.8436688493222171</t>
  </si>
  <si>
    <t>0.3077488253104888</t>
  </si>
  <si>
    <t>0.3346090439178291</t>
  </si>
  <si>
    <t>0.3100745042967522</t>
  </si>
  <si>
    <t>['borrowing_rate', 'utilization_rate', 'close', 'volume', 'yield', 'market_cap', 'Month_Sine', 'Month_Cosine', 'Day_Sine', 'Day_Cosine',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</si>
  <si>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0.7877564206105637</t>
  </si>
  <si>
    <t>0.3259092454372445</t>
  </si>
  <si>
    <t>0.33837020134548207</t>
  </si>
  <si>
    <t>0.3172710506761821</t>
  </si>
  <si>
    <t>['lending_rate', 'utilization_rate', 'close', 'volume', 'yield', 'market_cap', 'Month_Sine', 'Month_Cosine', 'Day_Sine', 'Day_Cosine',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</si>
  <si>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0.8324987885640446</t>
  </si>
  <si>
    <t>0.33870949622696417</t>
  </si>
  <si>
    <t>0.3190315802494341</t>
  </si>
  <si>
    <t>['lending_rate', 'borrowing_rate', 'close', 'volume', 'yield', 'market_cap', 'Month_Sine', 'Month_Cosine', 'Day_Sine', 'Day_Cosine',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</si>
  <si>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0.8436067244014264</t>
  </si>
  <si>
    <t>0.29391220832442894</t>
  </si>
  <si>
    <t>0.33316848547307776</t>
  </si>
  <si>
    <t>0.30741971742629975</t>
  </si>
  <si>
    <t>['lending_rate', 'borrowing_rate', 'utilization_rate', 'volume', 'yield', 'market_cap', 'Month_Sine', 'Month_Cosine', 'Day_Sine', 'Day_Cosine',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</si>
  <si>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0.3382763371099487</t>
  </si>
  <si>
    <t>0.3179920196056937</t>
  </si>
  <si>
    <t>['lending_rate', 'borrowing_rate', 'utilization_rate', 'close', 'yield', 'market_cap', 'Month_Sine', 'Month_Cosine', 'Day_Sine', 'Day_Cosine',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</si>
  <si>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0.8467750953617534</t>
  </si>
  <si>
    <t>0.3839145596188484</t>
  </si>
  <si>
    <t>0.33574306094784223</t>
  </si>
  <si>
    <t>0.3108106642451572</t>
  </si>
  <si>
    <t>['lending_rate', 'borrowing_rate', 'utilization_rate', 'close', 'volume', 'market_cap', 'Month_Sine', 'Month_Cosine', 'Day_Sine', 'Day_Cosine',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</si>
  <si>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0.8425009008113514</t>
  </si>
  <si>
    <t>0.35131417435397166</t>
  </si>
  <si>
    <t>0.30756006669615465</t>
  </si>
  <si>
    <t>['lending_rate', 'borrowing_rate', 'utilization_rate', 'close', 'volume', 'yield', 'Month_Sine', 'Month_Cosine', 'Day_Sine', 'Day_Cosine',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</si>
  <si>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0.8276903196948424</t>
  </si>
  <si>
    <t>0.30643013521432305</t>
  </si>
  <si>
    <t>0.34124236682220227</t>
  </si>
  <si>
    <t>0.32211788860118024</t>
  </si>
  <si>
    <t>['lending_rate', 'borrowing_rate', 'utilization_rate', 'close', 'volume', 'yield', 'market_cap', 'Month_Cosine', 'Day_Sine', 'Day_Cosine',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</si>
  <si>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0.8425257507796677</t>
  </si>
  <si>
    <t>0.31393817784832834</t>
  </si>
  <si>
    <t>0.3371683846020208</t>
  </si>
  <si>
    <t>0.31511336554563824</t>
  </si>
  <si>
    <t>['lending_rate', 'borrowing_rate', 'utilization_rate', 'close', 'volume', 'yield', 'market_cap', 'Month_Sine', 'Day_Sine', 'Day_Cosine',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</si>
  <si>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0.8171166581762608</t>
  </si>
  <si>
    <t>0.30655253310074343</t>
  </si>
  <si>
    <t>0.3270912222934417</t>
  </si>
  <si>
    <t>0.30795572270354077</t>
  </si>
  <si>
    <t>['lending_rate', 'borrowing_rate', 'utilization_rate', 'close', 'volume', 'yield', 'market_cap', 'Month_Sine', 'Month_Cosine', 'Day_Cosine',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</si>
  <si>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0.8464271958053253</t>
  </si>
  <si>
    <t>0.33702224625388605</t>
  </si>
  <si>
    <t>0.31351975831454787</t>
  </si>
  <si>
    <t>['lending_rate', 'borrowing_rate', 'utilization_rate', 'close', 'volume', 'yield', 'market_cap', 'Month_Sine', 'Month_Cosine', 'Day_Sine', 'Hour_Sine',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</si>
  <si>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0.8384876309282706</t>
  </si>
  <si>
    <t>0.3096864972064218</t>
  </si>
  <si>
    <t>0.33796878588851453</t>
  </si>
  <si>
    <t>0.3173384639908768</t>
  </si>
  <si>
    <t>['lending_rate', 'borrowing_rate', 'utilization_rate', 'close', 'volume', 'yield', 'market_cap', 'Month_Sine', 'Month_Cosine', 'Day_Sine', 'Day_Cosine', 'Hour_Cosine',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</si>
  <si>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0.8141595119466223</t>
  </si>
  <si>
    <t>0.2997705144220466</t>
  </si>
  <si>
    <t>0.33627108023715063</t>
  </si>
  <si>
    <t>0.3169701246848623</t>
  </si>
  <si>
    <t>['lending_rate', 'borrowing_rate', 'utilization_rate', 'close', 'volume', 'yield', 'market_cap', 'Month_Sine', 'Month_Cosine', 'Day_Sine', 'Day_Cosine', 'Hour_Sine', 'DayofWeek_Sine',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</si>
  <si>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0.8181106569089125</t>
  </si>
  <si>
    <t>0.39713371926799096</t>
  </si>
  <si>
    <t>0.3359461796874514</t>
  </si>
  <si>
    <t>0.31838394690429966</t>
  </si>
  <si>
    <t>['lending_rate', 'borrowing_rate', 'utilization_rate', 'close', 'volume', 'yield', 'market_cap', 'Month_Sine', 'Month_Cosine', 'Day_Sine', 'Day_Cosine', 'Hour_Sine', 'Hour_Cosine', 'DayofWeek_Cosine',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</si>
  <si>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0.8411341525539555</t>
  </si>
  <si>
    <t>0.31861052044046784</t>
  </si>
  <si>
    <t>['lending_rate', 'borrowing_rate', 'utilization_rate', 'close', 'volume', 'yield', 'market_cap', 'Month_Sine', 'Month_Cosine', 'Day_Sine', 'Day_Cosine', 'Hour_Sine', 'Hour_Cosine', 'DayofWeek_Sine', 'attention',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</si>
  <si>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0.8343501112036082</t>
  </si>
  <si>
    <t>0.3044352411870174</t>
  </si>
  <si>
    <t>0.3364288909641764</t>
  </si>
  <si>
    <t>0.31597142823298313</t>
  </si>
  <si>
    <t>['lending_rate', 'borrowing_rate', 'utilization_rate', 'close', 'volume', 'yield', 'market_cap', 'Month_Sine', 'Month_Cosine', 'Day_Sine', 'Day_Cosine', 'Hour_Sine', 'Hour_Cosine', 'DayofWeek_Sine', 'DayofWeek_Cosine', 'returns',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</si>
  <si>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0.8469366201558093</t>
  </si>
  <si>
    <t>0.2823157144868832</t>
  </si>
  <si>
    <t>0.30570860270753303</t>
  </si>
  <si>
    <t>['lending_rate', 'borrowing_rate', 'utilization_rate', 'close', 'volume', 'yield', 'market_cap', 'Month_Sine', 'Month_Cosine', 'Day_Sine', 'Day_Cosine', 'Hour_Sine', 'Hour_Cosine', 'DayofWeek_Sine', 'DayofWeek_Cosine', 'attention', 'crypto_symbol_embedding_1', 'crypto_symbol_embedding_2', 'crypto_symbol_embedding_3', 'crypto_symbol_embedding_4', 'crypto_symbol_embedding_5', 'crypto_symbol_embedding_6', 'crypto_symbol_embedding_7', 'crypto_symbol_embedding_8', 'crypto_symbol_embedding_9', 'crypto_symbol_embedding_10', 'crypto_symbol_embedding_11', 'crypto_symbol_embedding_12', 'crypto_symbol_embedding_13', 'crypto_symbol_embedding_14', 'crypto_symbol_embedding_15']</t>
  </si>
  <si>
    <t>0.8419542015083931</t>
  </si>
  <si>
    <t>0.45693999943411706</t>
  </si>
  <si>
    <t>0.3358371837426999</t>
  </si>
  <si>
    <t>0.3130645396820148</t>
  </si>
  <si>
    <t>Loss feature</t>
    <phoneticPr fontId="18" type="noConversion"/>
  </si>
  <si>
    <t>embedding</t>
    <phoneticPr fontId="18" type="noConversion"/>
  </si>
  <si>
    <t>borrowing rate</t>
    <phoneticPr fontId="18" type="noConversion"/>
  </si>
  <si>
    <t>lending rate</t>
    <phoneticPr fontId="18" type="noConversion"/>
  </si>
  <si>
    <t>close</t>
    <phoneticPr fontId="18" type="noConversion"/>
  </si>
  <si>
    <t>utilization rate</t>
    <phoneticPr fontId="18" type="noConversion"/>
  </si>
  <si>
    <t>volume</t>
    <phoneticPr fontId="18" type="noConversion"/>
  </si>
  <si>
    <t>yield</t>
    <phoneticPr fontId="18" type="noConversion"/>
  </si>
  <si>
    <t>market cap</t>
    <phoneticPr fontId="18" type="noConversion"/>
  </si>
  <si>
    <t>month sine</t>
    <phoneticPr fontId="18" type="noConversion"/>
  </si>
  <si>
    <t>month cosin</t>
    <phoneticPr fontId="18" type="noConversion"/>
  </si>
  <si>
    <t>day sine</t>
    <phoneticPr fontId="18" type="noConversion"/>
  </si>
  <si>
    <t>day cosin</t>
    <phoneticPr fontId="18" type="noConversion"/>
  </si>
  <si>
    <t>hour sine</t>
    <phoneticPr fontId="18" type="noConversion"/>
  </si>
  <si>
    <t>hour cosine</t>
    <phoneticPr fontId="18" type="noConversion"/>
  </si>
  <si>
    <t>day cosine</t>
    <phoneticPr fontId="18" type="noConversion"/>
  </si>
  <si>
    <t>0.3203925592884706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</si>
</sst>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0" borderId="0" xfId="0" quotePrefix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Feature</a:t>
            </a:r>
            <a:r>
              <a:rPr lang="en-US" altLang="zh-CN" baseline="0"/>
              <a:t> importance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results_feature_importance_v2!$C$1</c:f>
              <c:strCache>
                <c:ptCount val="1"/>
                <c:pt idx="0">
                  <c:v>accuracy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results_feature_importance_v2!$B$2:$B$19</c:f>
              <c:strCache>
                <c:ptCount val="18"/>
                <c:pt idx="0">
                  <c:v>embedding</c:v>
                </c:pt>
                <c:pt idx="1">
                  <c:v>borrowing rate</c:v>
                </c:pt>
                <c:pt idx="2">
                  <c:v>lending rate</c:v>
                </c:pt>
                <c:pt idx="3">
                  <c:v>utilization rate</c:v>
                </c:pt>
                <c:pt idx="4">
                  <c:v>close</c:v>
                </c:pt>
                <c:pt idx="5">
                  <c:v>volume</c:v>
                </c:pt>
                <c:pt idx="6">
                  <c:v>yield</c:v>
                </c:pt>
                <c:pt idx="7">
                  <c:v>market cap</c:v>
                </c:pt>
                <c:pt idx="8">
                  <c:v>month sine</c:v>
                </c:pt>
                <c:pt idx="9">
                  <c:v>month cosin</c:v>
                </c:pt>
                <c:pt idx="10">
                  <c:v>day sine</c:v>
                </c:pt>
                <c:pt idx="11">
                  <c:v>day cosin</c:v>
                </c:pt>
                <c:pt idx="12">
                  <c:v>hour sine</c:v>
                </c:pt>
                <c:pt idx="13">
                  <c:v>hour cosine</c:v>
                </c:pt>
                <c:pt idx="14">
                  <c:v>day sine</c:v>
                </c:pt>
                <c:pt idx="15">
                  <c:v>day cosine</c:v>
                </c:pt>
                <c:pt idx="16">
                  <c:v>hour sine</c:v>
                </c:pt>
                <c:pt idx="17">
                  <c:v>hour cosine</c:v>
                </c:pt>
              </c:strCache>
            </c:strRef>
          </c:cat>
          <c:val>
            <c:numRef>
              <c:f>results_feature_importance_v2!$C$2:$C$19</c:f>
              <c:numCache>
                <c:formatCode>General</c:formatCode>
                <c:ptCount val="18"/>
                <c:pt idx="0">
                  <c:v>3.9328815558240865E-3</c:v>
                </c:pt>
                <c:pt idx="1">
                  <c:v>6.9945194084341245E-2</c:v>
                </c:pt>
                <c:pt idx="2">
                  <c:v>1.7120674658743746E-2</c:v>
                </c:pt>
                <c:pt idx="3">
                  <c:v>4.0062285697449133E-3</c:v>
                </c:pt>
                <c:pt idx="4">
                  <c:v>1.1516962795211276E-2</c:v>
                </c:pt>
                <c:pt idx="5">
                  <c:v>2.6553085979572733E-4</c:v>
                </c:pt>
                <c:pt idx="6">
                  <c:v>5.3118054175312771E-3</c:v>
                </c:pt>
                <c:pt idx="7">
                  <c:v>2.2797733536195994E-2</c:v>
                </c:pt>
                <c:pt idx="8">
                  <c:v>5.2824666119634187E-3</c:v>
                </c:pt>
                <c:pt idx="9">
                  <c:v>3.5281395305478129E-2</c:v>
                </c:pt>
                <c:pt idx="10">
                  <c:v>6.7627413775086273E-4</c:v>
                </c:pt>
                <c:pt idx="11">
                  <c:v>1.0050022516800509E-2</c:v>
                </c:pt>
                <c:pt idx="12">
                  <c:v>3.8772713168096842E-2</c:v>
                </c:pt>
                <c:pt idx="13">
                  <c:v>3.4107843082748439E-2</c:v>
                </c:pt>
                <c:pt idx="14">
                  <c:v>6.9254397237839601E-3</c:v>
                </c:pt>
                <c:pt idx="15">
                  <c:v>1.4934933643910214E-2</c:v>
                </c:pt>
                <c:pt idx="16">
                  <c:v>7.4828623602154597E-5</c:v>
                </c:pt>
                <c:pt idx="17">
                  <c:v>5.9572591400319048E-3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B2-DC4B-A2E6-0C2F51F29102}"/>
            </c:ext>
          </c:extLst>
        </c:ser>
        <c:ser>
          <c:idx val="1"/>
          <c:order val="1"/>
          <c:tx>
            <c:strRef>
              <c:f>results_feature_importance_v2!$D$1</c:f>
              <c:strCache>
                <c:ptCount val="1"/>
                <c:pt idx="0">
                  <c:v>precision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results_feature_importance_v2!$B$2:$B$19</c:f>
              <c:strCache>
                <c:ptCount val="18"/>
                <c:pt idx="0">
                  <c:v>embedding</c:v>
                </c:pt>
                <c:pt idx="1">
                  <c:v>borrowing rate</c:v>
                </c:pt>
                <c:pt idx="2">
                  <c:v>lending rate</c:v>
                </c:pt>
                <c:pt idx="3">
                  <c:v>utilization rate</c:v>
                </c:pt>
                <c:pt idx="4">
                  <c:v>close</c:v>
                </c:pt>
                <c:pt idx="5">
                  <c:v>volume</c:v>
                </c:pt>
                <c:pt idx="6">
                  <c:v>yield</c:v>
                </c:pt>
                <c:pt idx="7">
                  <c:v>market cap</c:v>
                </c:pt>
                <c:pt idx="8">
                  <c:v>month sine</c:v>
                </c:pt>
                <c:pt idx="9">
                  <c:v>month cosin</c:v>
                </c:pt>
                <c:pt idx="10">
                  <c:v>day sine</c:v>
                </c:pt>
                <c:pt idx="11">
                  <c:v>day cosin</c:v>
                </c:pt>
                <c:pt idx="12">
                  <c:v>hour sine</c:v>
                </c:pt>
                <c:pt idx="13">
                  <c:v>hour cosine</c:v>
                </c:pt>
                <c:pt idx="14">
                  <c:v>day sine</c:v>
                </c:pt>
                <c:pt idx="15">
                  <c:v>day cosine</c:v>
                </c:pt>
                <c:pt idx="16">
                  <c:v>hour sine</c:v>
                </c:pt>
                <c:pt idx="17">
                  <c:v>hour cosine</c:v>
                </c:pt>
              </c:strCache>
            </c:strRef>
          </c:cat>
          <c:val>
            <c:numRef>
              <c:f>results_feature_importance_v2!$D$2:$D$19</c:f>
              <c:numCache>
                <c:formatCode>General</c:formatCode>
                <c:ptCount val="18"/>
                <c:pt idx="0">
                  <c:v>0.19857076742060426</c:v>
                </c:pt>
                <c:pt idx="1">
                  <c:v>0.15127800667384383</c:v>
                </c:pt>
                <c:pt idx="2">
                  <c:v>0.20487760672484645</c:v>
                </c:pt>
                <c:pt idx="3">
                  <c:v>0.23460362415513544</c:v>
                </c:pt>
                <c:pt idx="4">
                  <c:v>0.19568302521881781</c:v>
                </c:pt>
                <c:pt idx="5">
                  <c:v>2.2250099258330999E-4</c:v>
                </c:pt>
                <c:pt idx="6">
                  <c:v>8.5119337619867216E-2</c:v>
                </c:pt>
                <c:pt idx="7">
                  <c:v>0.20200485621270053</c:v>
                </c:pt>
                <c:pt idx="8">
                  <c:v>0.18245266185331252</c:v>
                </c:pt>
                <c:pt idx="9">
                  <c:v>0.20168611171681516</c:v>
                </c:pt>
                <c:pt idx="10">
                  <c:v>5.4204945262497445E-2</c:v>
                </c:pt>
                <c:pt idx="11">
                  <c:v>0.19352474685827867</c:v>
                </c:pt>
                <c:pt idx="12">
                  <c:v>0.21934761869258856</c:v>
                </c:pt>
                <c:pt idx="13">
                  <c:v>-3.420239392705731E-2</c:v>
                </c:pt>
                <c:pt idx="14">
                  <c:v>0.17028510301961719</c:v>
                </c:pt>
                <c:pt idx="15">
                  <c:v>0.20719989274214329</c:v>
                </c:pt>
                <c:pt idx="16">
                  <c:v>0.26480282685707562</c:v>
                </c:pt>
                <c:pt idx="17">
                  <c:v>-0.18994791519301302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B2-DC4B-A2E6-0C2F51F29102}"/>
            </c:ext>
          </c:extLst>
        </c:ser>
        <c:ser>
          <c:idx val="2"/>
          <c:order val="2"/>
          <c:tx>
            <c:strRef>
              <c:f>results_feature_importance_v2!$E$1</c:f>
              <c:strCache>
                <c:ptCount val="1"/>
                <c:pt idx="0">
                  <c:v>recall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results_feature_importance_v2!$B$2:$B$19</c:f>
              <c:strCache>
                <c:ptCount val="18"/>
                <c:pt idx="0">
                  <c:v>embedding</c:v>
                </c:pt>
                <c:pt idx="1">
                  <c:v>borrowing rate</c:v>
                </c:pt>
                <c:pt idx="2">
                  <c:v>lending rate</c:v>
                </c:pt>
                <c:pt idx="3">
                  <c:v>utilization rate</c:v>
                </c:pt>
                <c:pt idx="4">
                  <c:v>close</c:v>
                </c:pt>
                <c:pt idx="5">
                  <c:v>volume</c:v>
                </c:pt>
                <c:pt idx="6">
                  <c:v>yield</c:v>
                </c:pt>
                <c:pt idx="7">
                  <c:v>market cap</c:v>
                </c:pt>
                <c:pt idx="8">
                  <c:v>month sine</c:v>
                </c:pt>
                <c:pt idx="9">
                  <c:v>month cosin</c:v>
                </c:pt>
                <c:pt idx="10">
                  <c:v>day sine</c:v>
                </c:pt>
                <c:pt idx="11">
                  <c:v>day cosin</c:v>
                </c:pt>
                <c:pt idx="12">
                  <c:v>hour sine</c:v>
                </c:pt>
                <c:pt idx="13">
                  <c:v>hour cosine</c:v>
                </c:pt>
                <c:pt idx="14">
                  <c:v>day sine</c:v>
                </c:pt>
                <c:pt idx="15">
                  <c:v>day cosine</c:v>
                </c:pt>
                <c:pt idx="16">
                  <c:v>hour sine</c:v>
                </c:pt>
                <c:pt idx="17">
                  <c:v>hour cosine</c:v>
                </c:pt>
              </c:strCache>
            </c:strRef>
          </c:cat>
          <c:val>
            <c:numRef>
              <c:f>results_feature_importance_v2!$E$2:$E$19</c:f>
              <c:numCache>
                <c:formatCode>General</c:formatCode>
                <c:ptCount val="18"/>
                <c:pt idx="0">
                  <c:v>1.2952672808764156E-2</c:v>
                </c:pt>
                <c:pt idx="1">
                  <c:v>1.8578131401711211E-3</c:v>
                </c:pt>
                <c:pt idx="2">
                  <c:v>8.5694328329209907E-4</c:v>
                </c:pt>
                <c:pt idx="3">
                  <c:v>1.7202107749035522E-2</c:v>
                </c:pt>
                <c:pt idx="4">
                  <c:v>2.1346987907139995E-3</c:v>
                </c:pt>
                <c:pt idx="5">
                  <c:v>9.6074898293746734E-3</c:v>
                </c:pt>
                <c:pt idx="6">
                  <c:v>1.7930966820592927E-2</c:v>
                </c:pt>
                <c:pt idx="7">
                  <c:v>-6.6146513929261613E-3</c:v>
                </c:pt>
                <c:pt idx="8">
                  <c:v>5.4029952742774227E-3</c:v>
                </c:pt>
                <c:pt idx="9">
                  <c:v>3.5129137777460219E-2</c:v>
                </c:pt>
                <c:pt idx="10">
                  <c:v>5.8340818469440423E-3</c:v>
                </c:pt>
                <c:pt idx="11">
                  <c:v>3.0419295324072126E-3</c:v>
                </c:pt>
                <c:pt idx="12">
                  <c:v>8.0499108048672618E-3</c:v>
                </c:pt>
                <c:pt idx="13">
                  <c:v>9.008319506044327E-3</c:v>
                </c:pt>
                <c:pt idx="14">
                  <c:v>-3.6857540427314766E-3</c:v>
                </c:pt>
                <c:pt idx="15">
                  <c:v>7.584392436059074E-3</c:v>
                </c:pt>
                <c:pt idx="16">
                  <c:v>1.6730255934451477E-2</c:v>
                </c:pt>
                <c:pt idx="17">
                  <c:v>9.3298414669646789E-3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B2-DC4B-A2E6-0C2F51F29102}"/>
            </c:ext>
          </c:extLst>
        </c:ser>
        <c:ser>
          <c:idx val="3"/>
          <c:order val="3"/>
          <c:tx>
            <c:strRef>
              <c:f>results_feature_importance_v2!$F$1</c:f>
              <c:strCache>
                <c:ptCount val="1"/>
                <c:pt idx="0">
                  <c:v>f1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results_feature_importance_v2!$B$2:$B$19</c:f>
              <c:strCache>
                <c:ptCount val="18"/>
                <c:pt idx="0">
                  <c:v>embedding</c:v>
                </c:pt>
                <c:pt idx="1">
                  <c:v>borrowing rate</c:v>
                </c:pt>
                <c:pt idx="2">
                  <c:v>lending rate</c:v>
                </c:pt>
                <c:pt idx="3">
                  <c:v>utilization rate</c:v>
                </c:pt>
                <c:pt idx="4">
                  <c:v>close</c:v>
                </c:pt>
                <c:pt idx="5">
                  <c:v>volume</c:v>
                </c:pt>
                <c:pt idx="6">
                  <c:v>yield</c:v>
                </c:pt>
                <c:pt idx="7">
                  <c:v>market cap</c:v>
                </c:pt>
                <c:pt idx="8">
                  <c:v>month sine</c:v>
                </c:pt>
                <c:pt idx="9">
                  <c:v>month cosin</c:v>
                </c:pt>
                <c:pt idx="10">
                  <c:v>day sine</c:v>
                </c:pt>
                <c:pt idx="11">
                  <c:v>day cosin</c:v>
                </c:pt>
                <c:pt idx="12">
                  <c:v>hour sine</c:v>
                </c:pt>
                <c:pt idx="13">
                  <c:v>hour cosine</c:v>
                </c:pt>
                <c:pt idx="14">
                  <c:v>day sine</c:v>
                </c:pt>
                <c:pt idx="15">
                  <c:v>day cosine</c:v>
                </c:pt>
                <c:pt idx="16">
                  <c:v>hour sine</c:v>
                </c:pt>
                <c:pt idx="17">
                  <c:v>hour cosine</c:v>
                </c:pt>
              </c:strCache>
            </c:strRef>
          </c:cat>
          <c:val>
            <c:numRef>
              <c:f>results_feature_importance_v2!$F$2:$F$19</c:f>
              <c:numCache>
                <c:formatCode>General</c:formatCode>
                <c:ptCount val="18"/>
                <c:pt idx="0">
                  <c:v>4.0017014561139395E-2</c:v>
                </c:pt>
                <c:pt idx="1">
                  <c:v>1.7736685213058857E-2</c:v>
                </c:pt>
                <c:pt idx="2">
                  <c:v>1.2286129258718264E-2</c:v>
                </c:pt>
                <c:pt idx="3">
                  <c:v>4.8236168958826722E-2</c:v>
                </c:pt>
                <c:pt idx="4">
                  <c:v>1.5504583264108356E-2</c:v>
                </c:pt>
                <c:pt idx="5">
                  <c:v>3.773788159394114E-2</c:v>
                </c:pt>
                <c:pt idx="6">
                  <c:v>4.7801651095498512E-2</c:v>
                </c:pt>
                <c:pt idx="7">
                  <c:v>2.7309950427863647E-3</c:v>
                </c:pt>
                <c:pt idx="8">
                  <c:v>2.4416824936105249E-2</c:v>
                </c:pt>
                <c:pt idx="9">
                  <c:v>4.6576709896161042E-2</c:v>
                </c:pt>
                <c:pt idx="10">
                  <c:v>2.9350593453414946E-2</c:v>
                </c:pt>
                <c:pt idx="11">
                  <c:v>1.7527975260445826E-2</c:v>
                </c:pt>
                <c:pt idx="12">
                  <c:v>1.8668344628910184E-2</c:v>
                </c:pt>
                <c:pt idx="13">
                  <c:v>1.4291186054801893E-2</c:v>
                </c:pt>
                <c:pt idx="14">
                  <c:v>8.0725718623220373E-3</c:v>
                </c:pt>
                <c:pt idx="15">
                  <c:v>2.1760284108411729E-2</c:v>
                </c:pt>
                <c:pt idx="16">
                  <c:v>5.3533737747575964E-2</c:v>
                </c:pt>
                <c:pt idx="17">
                  <c:v>3.0759939064972239E-2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B2-DC4B-A2E6-0C2F51F29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1433008"/>
        <c:axId val="651434720"/>
      </c:barChart>
      <c:catAx>
        <c:axId val="65143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1434720"/>
        <c:crosses val="autoZero"/>
        <c:auto val="1"/>
        <c:lblAlgn val="ctr"/>
        <c:lblOffset val="100"/>
        <c:noMultiLvlLbl val="0"/>
      </c:catAx>
      <c:valAx>
        <c:axId val="65143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143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1885950</xdr:colOff>
      <xdr:row>22</xdr:row>
      <xdr:rowOff>196850</xdr:rowOff>
    </xdr:from>
    <xdr:to>
      <xdr:col>10</xdr:col>
      <xdr:colOff>457200</xdr:colOff>
      <xdr:row>39</xdr:row>
      <xdr:rowOff>114300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948E9F7D-EA5A-C99F-7065-A05AD3E93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CDA56-2451-664C-9B8F-B8CB0A7D478D}">
  <dimension ref="A1:O19"/>
  <sheetViews>
    <sheetView tabSelected="1" topLeftCell="A19" workbookViewId="0">
      <selection activeCell="H21" sqref="H21"/>
    </sheetView>
  </sheetViews>
  <sheetFormatPr baseColWidth="10" defaultRowHeight="16"/>
  <cols>
    <col min="3" max="3" width="37.33203125" customWidth="1"/>
  </cols>
  <sheetData>
    <row r="1" spans="1:15">
      <c r="B1" t="s">
        <v>92</v>
      </c>
      <c r="C1" t="s">
        <v>5</v>
      </c>
      <c r="D1" t="s">
        <v>6</v>
      </c>
      <c r="E1" t="s">
        <v>7</v>
      </c>
      <c r="F1" t="s">
        <v>8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6</v>
      </c>
      <c r="N1" t="s">
        <v>7</v>
      </c>
      <c r="O1" t="s">
        <v>8</v>
      </c>
    </row>
    <row r="2" spans="1:15">
      <c r="A2">
        <v>0</v>
      </c>
      <c r="B2" t="s">
        <v>93</v>
      </c>
      <c r="C2">
        <f>(0.847-L2)/0.847</f>
        <v>3.9328815558240865E-3</v>
      </c>
      <c r="D2">
        <f>(0.384-M2)/0.384</f>
        <v>0.19857076742060426</v>
      </c>
      <c r="E2">
        <f>(0.339-N2)/0.339</f>
        <v>1.2952672808764156E-2</v>
      </c>
      <c r="F2">
        <f>(0.323-O2)/0.323</f>
        <v>4.0017014561139395E-2</v>
      </c>
      <c r="G2" t="s">
        <v>9</v>
      </c>
      <c r="H2">
        <v>80483</v>
      </c>
      <c r="I2">
        <v>48</v>
      </c>
      <c r="J2">
        <v>48</v>
      </c>
      <c r="K2" t="s">
        <v>10</v>
      </c>
      <c r="L2" s="1" t="s">
        <v>11</v>
      </c>
      <c r="M2" s="1" t="s">
        <v>12</v>
      </c>
      <c r="N2" s="1" t="s">
        <v>13</v>
      </c>
      <c r="O2" s="1" t="s">
        <v>14</v>
      </c>
    </row>
    <row r="3" spans="1:15">
      <c r="A3">
        <v>1</v>
      </c>
      <c r="B3" t="s">
        <v>94</v>
      </c>
      <c r="C3">
        <f t="shared" ref="C3:C19" si="0">(0.847-L3)/0.847</f>
        <v>6.9945194084341245E-2</v>
      </c>
      <c r="D3">
        <f t="shared" ref="D3:D19" si="1">(0.384-M3)/0.384</f>
        <v>0.15127800667384383</v>
      </c>
      <c r="E3">
        <f t="shared" ref="E3:E19" si="2">(0.339-N3)/0.339</f>
        <v>1.8578131401711211E-3</v>
      </c>
      <c r="F3">
        <f t="shared" ref="F3:F19" si="3">(0.323-O3)/0.323</f>
        <v>1.7736685213058857E-2</v>
      </c>
      <c r="G3" t="s">
        <v>15</v>
      </c>
      <c r="H3">
        <v>80483</v>
      </c>
      <c r="I3">
        <v>48</v>
      </c>
      <c r="J3">
        <v>48</v>
      </c>
      <c r="K3" t="s">
        <v>10</v>
      </c>
      <c r="L3" s="1" t="s">
        <v>16</v>
      </c>
      <c r="M3" s="1" t="s">
        <v>17</v>
      </c>
      <c r="N3" s="1" t="s">
        <v>18</v>
      </c>
      <c r="O3" s="1" t="s">
        <v>19</v>
      </c>
    </row>
    <row r="4" spans="1:15">
      <c r="A4">
        <v>2</v>
      </c>
      <c r="B4" t="s">
        <v>95</v>
      </c>
      <c r="C4">
        <f t="shared" si="0"/>
        <v>1.7120674658743746E-2</v>
      </c>
      <c r="D4">
        <f t="shared" si="1"/>
        <v>0.20487760672484645</v>
      </c>
      <c r="E4">
        <f t="shared" si="2"/>
        <v>8.5694328329209907E-4</v>
      </c>
      <c r="F4">
        <f t="shared" si="3"/>
        <v>1.2286129258718264E-2</v>
      </c>
      <c r="G4" t="s">
        <v>20</v>
      </c>
      <c r="H4">
        <v>80483</v>
      </c>
      <c r="I4">
        <v>48</v>
      </c>
      <c r="J4">
        <v>48</v>
      </c>
      <c r="K4" t="s">
        <v>10</v>
      </c>
      <c r="L4" s="1" t="s">
        <v>21</v>
      </c>
      <c r="M4">
        <v>0.30532699901765897</v>
      </c>
      <c r="N4" s="1" t="s">
        <v>22</v>
      </c>
      <c r="O4" s="1" t="s">
        <v>23</v>
      </c>
    </row>
    <row r="5" spans="1:15">
      <c r="A5">
        <v>3</v>
      </c>
      <c r="B5" t="s">
        <v>97</v>
      </c>
      <c r="C5">
        <f t="shared" si="0"/>
        <v>4.0062285697449133E-3</v>
      </c>
      <c r="D5">
        <f t="shared" si="1"/>
        <v>0.23460362415513544</v>
      </c>
      <c r="E5">
        <f t="shared" si="2"/>
        <v>1.7202107749035522E-2</v>
      </c>
      <c r="F5">
        <f t="shared" si="3"/>
        <v>4.8236168958826722E-2</v>
      </c>
      <c r="G5" t="s">
        <v>24</v>
      </c>
      <c r="H5">
        <v>80483</v>
      </c>
      <c r="I5">
        <v>48</v>
      </c>
      <c r="J5">
        <v>48</v>
      </c>
      <c r="K5" t="s">
        <v>10</v>
      </c>
      <c r="L5" s="1" t="s">
        <v>25</v>
      </c>
      <c r="M5" s="1" t="s">
        <v>26</v>
      </c>
      <c r="N5" s="1" t="s">
        <v>27</v>
      </c>
      <c r="O5" s="1" t="s">
        <v>28</v>
      </c>
    </row>
    <row r="6" spans="1:15">
      <c r="A6">
        <v>4</v>
      </c>
      <c r="B6" t="s">
        <v>96</v>
      </c>
      <c r="C6">
        <f t="shared" si="0"/>
        <v>1.1516962795211276E-2</v>
      </c>
      <c r="D6">
        <f t="shared" si="1"/>
        <v>0.19568302521881781</v>
      </c>
      <c r="E6">
        <f t="shared" si="2"/>
        <v>2.1346987907139995E-3</v>
      </c>
      <c r="F6">
        <f t="shared" si="3"/>
        <v>1.5504583264108356E-2</v>
      </c>
      <c r="G6" t="s">
        <v>29</v>
      </c>
      <c r="H6">
        <v>80483</v>
      </c>
      <c r="I6">
        <v>48</v>
      </c>
      <c r="J6">
        <v>48</v>
      </c>
      <c r="K6" t="s">
        <v>10</v>
      </c>
      <c r="L6">
        <v>0.83724513251245603</v>
      </c>
      <c r="M6">
        <v>0.30885771831597397</v>
      </c>
      <c r="N6" s="1" t="s">
        <v>30</v>
      </c>
      <c r="O6" s="1" t="s">
        <v>31</v>
      </c>
    </row>
    <row r="7" spans="1:15">
      <c r="A7">
        <v>5</v>
      </c>
      <c r="B7" t="s">
        <v>98</v>
      </c>
      <c r="C7">
        <f t="shared" si="0"/>
        <v>2.6553085979572733E-4</v>
      </c>
      <c r="D7">
        <f t="shared" si="1"/>
        <v>2.2250099258330999E-4</v>
      </c>
      <c r="E7">
        <f t="shared" si="2"/>
        <v>9.6074898293746734E-3</v>
      </c>
      <c r="F7">
        <f t="shared" si="3"/>
        <v>3.773788159394114E-2</v>
      </c>
      <c r="G7" t="s">
        <v>32</v>
      </c>
      <c r="H7">
        <v>80483</v>
      </c>
      <c r="I7">
        <v>48</v>
      </c>
      <c r="J7">
        <v>48</v>
      </c>
      <c r="K7" t="s">
        <v>10</v>
      </c>
      <c r="L7" s="1" t="s">
        <v>33</v>
      </c>
      <c r="M7" s="1" t="s">
        <v>34</v>
      </c>
      <c r="N7" s="1" t="s">
        <v>35</v>
      </c>
      <c r="O7" s="1" t="s">
        <v>36</v>
      </c>
    </row>
    <row r="8" spans="1:15">
      <c r="A8">
        <v>6</v>
      </c>
      <c r="B8" t="s">
        <v>99</v>
      </c>
      <c r="C8">
        <f t="shared" si="0"/>
        <v>5.3118054175312771E-3</v>
      </c>
      <c r="D8">
        <f t="shared" si="1"/>
        <v>8.5119337619867216E-2</v>
      </c>
      <c r="E8">
        <f t="shared" si="2"/>
        <v>1.7930966820592927E-2</v>
      </c>
      <c r="F8">
        <f t="shared" si="3"/>
        <v>4.7801651095498512E-2</v>
      </c>
      <c r="G8" t="s">
        <v>37</v>
      </c>
      <c r="H8">
        <v>80483</v>
      </c>
      <c r="I8">
        <v>48</v>
      </c>
      <c r="J8">
        <v>48</v>
      </c>
      <c r="K8" t="s">
        <v>10</v>
      </c>
      <c r="L8" s="1" t="s">
        <v>38</v>
      </c>
      <c r="M8" s="1" t="s">
        <v>39</v>
      </c>
      <c r="N8">
        <v>0.33292140224781902</v>
      </c>
      <c r="O8" s="1" t="s">
        <v>40</v>
      </c>
    </row>
    <row r="9" spans="1:15">
      <c r="A9">
        <v>7</v>
      </c>
      <c r="B9" t="s">
        <v>100</v>
      </c>
      <c r="C9">
        <f t="shared" si="0"/>
        <v>2.2797733536195994E-2</v>
      </c>
      <c r="D9">
        <f t="shared" si="1"/>
        <v>0.20200485621270053</v>
      </c>
      <c r="E9">
        <f t="shared" si="2"/>
        <v>-6.6146513929261613E-3</v>
      </c>
      <c r="F9">
        <f t="shared" si="3"/>
        <v>2.7309950427863647E-3</v>
      </c>
      <c r="G9" t="s">
        <v>41</v>
      </c>
      <c r="H9">
        <v>80483</v>
      </c>
      <c r="I9">
        <v>48</v>
      </c>
      <c r="J9">
        <v>48</v>
      </c>
      <c r="K9" t="s">
        <v>10</v>
      </c>
      <c r="L9" s="1" t="s">
        <v>42</v>
      </c>
      <c r="M9" s="1" t="s">
        <v>43</v>
      </c>
      <c r="N9" s="1" t="s">
        <v>44</v>
      </c>
      <c r="O9" s="1" t="s">
        <v>45</v>
      </c>
    </row>
    <row r="10" spans="1:15">
      <c r="A10">
        <v>8</v>
      </c>
      <c r="B10" t="s">
        <v>101</v>
      </c>
      <c r="C10">
        <f t="shared" si="0"/>
        <v>5.2824666119634187E-3</v>
      </c>
      <c r="D10">
        <f t="shared" si="1"/>
        <v>0.18245266185331252</v>
      </c>
      <c r="E10">
        <f t="shared" si="2"/>
        <v>5.4029952742774227E-3</v>
      </c>
      <c r="F10">
        <f t="shared" si="3"/>
        <v>2.4416824936105249E-2</v>
      </c>
      <c r="G10" t="s">
        <v>46</v>
      </c>
      <c r="H10">
        <v>80483</v>
      </c>
      <c r="I10">
        <v>48</v>
      </c>
      <c r="J10">
        <v>48</v>
      </c>
      <c r="K10" t="s">
        <v>10</v>
      </c>
      <c r="L10" s="1" t="s">
        <v>47</v>
      </c>
      <c r="M10" s="1" t="s">
        <v>48</v>
      </c>
      <c r="N10" s="1" t="s">
        <v>49</v>
      </c>
      <c r="O10" s="1" t="s">
        <v>50</v>
      </c>
    </row>
    <row r="11" spans="1:15">
      <c r="A11">
        <v>9</v>
      </c>
      <c r="B11" t="s">
        <v>102</v>
      </c>
      <c r="C11">
        <f t="shared" si="0"/>
        <v>3.5281395305478129E-2</v>
      </c>
      <c r="D11">
        <f t="shared" si="1"/>
        <v>0.20168611171681516</v>
      </c>
      <c r="E11">
        <f t="shared" si="2"/>
        <v>3.5129137777460219E-2</v>
      </c>
      <c r="F11">
        <f t="shared" si="3"/>
        <v>4.6576709896161042E-2</v>
      </c>
      <c r="G11" t="s">
        <v>51</v>
      </c>
      <c r="H11">
        <v>80483</v>
      </c>
      <c r="I11">
        <v>48</v>
      </c>
      <c r="J11">
        <v>48</v>
      </c>
      <c r="K11" t="s">
        <v>10</v>
      </c>
      <c r="L11" s="1" t="s">
        <v>52</v>
      </c>
      <c r="M11" s="1" t="s">
        <v>53</v>
      </c>
      <c r="N11" s="1" t="s">
        <v>54</v>
      </c>
      <c r="O11" s="1" t="s">
        <v>55</v>
      </c>
    </row>
    <row r="12" spans="1:15">
      <c r="A12">
        <v>10</v>
      </c>
      <c r="B12" t="s">
        <v>103</v>
      </c>
      <c r="C12">
        <f t="shared" si="0"/>
        <v>6.7627413775086273E-4</v>
      </c>
      <c r="D12">
        <f t="shared" si="1"/>
        <v>5.4204945262497445E-2</v>
      </c>
      <c r="E12">
        <f t="shared" si="2"/>
        <v>5.8340818469440423E-3</v>
      </c>
      <c r="F12">
        <f t="shared" si="3"/>
        <v>2.9350593453414946E-2</v>
      </c>
      <c r="G12" t="s">
        <v>56</v>
      </c>
      <c r="H12">
        <v>80483</v>
      </c>
      <c r="I12">
        <v>48</v>
      </c>
      <c r="J12">
        <v>48</v>
      </c>
      <c r="K12" t="s">
        <v>10</v>
      </c>
      <c r="L12" s="1" t="s">
        <v>57</v>
      </c>
      <c r="M12">
        <v>0.36318530101920099</v>
      </c>
      <c r="N12" s="1" t="s">
        <v>58</v>
      </c>
      <c r="O12" s="1" t="s">
        <v>59</v>
      </c>
    </row>
    <row r="13" spans="1:15">
      <c r="A13">
        <v>11</v>
      </c>
      <c r="B13" t="s">
        <v>104</v>
      </c>
      <c r="C13">
        <f t="shared" si="0"/>
        <v>1.0050022516800509E-2</v>
      </c>
      <c r="D13">
        <f t="shared" si="1"/>
        <v>0.19352474685827867</v>
      </c>
      <c r="E13">
        <f t="shared" si="2"/>
        <v>3.0419295324072126E-3</v>
      </c>
      <c r="F13">
        <f t="shared" si="3"/>
        <v>1.7527975260445826E-2</v>
      </c>
      <c r="G13" t="s">
        <v>60</v>
      </c>
      <c r="H13">
        <v>80483</v>
      </c>
      <c r="I13">
        <v>48</v>
      </c>
      <c r="J13">
        <v>48</v>
      </c>
      <c r="K13" t="s">
        <v>10</v>
      </c>
      <c r="L13" s="1" t="s">
        <v>61</v>
      </c>
      <c r="M13" s="1" t="s">
        <v>62</v>
      </c>
      <c r="N13" s="1" t="s">
        <v>63</v>
      </c>
      <c r="O13" s="1" t="s">
        <v>64</v>
      </c>
    </row>
    <row r="14" spans="1:15">
      <c r="A14">
        <v>12</v>
      </c>
      <c r="B14" t="s">
        <v>105</v>
      </c>
      <c r="C14">
        <f t="shared" si="0"/>
        <v>3.8772713168096842E-2</v>
      </c>
      <c r="D14">
        <f t="shared" si="1"/>
        <v>0.21934761869258856</v>
      </c>
      <c r="E14">
        <f t="shared" si="2"/>
        <v>8.0499108048672618E-3</v>
      </c>
      <c r="F14">
        <f t="shared" si="3"/>
        <v>1.8668344628910184E-2</v>
      </c>
      <c r="G14" t="s">
        <v>65</v>
      </c>
      <c r="H14">
        <v>80483</v>
      </c>
      <c r="I14">
        <v>48</v>
      </c>
      <c r="J14">
        <v>48</v>
      </c>
      <c r="K14" t="s">
        <v>10</v>
      </c>
      <c r="L14" s="1" t="s">
        <v>66</v>
      </c>
      <c r="M14" s="1" t="s">
        <v>67</v>
      </c>
      <c r="N14" s="1" t="s">
        <v>68</v>
      </c>
      <c r="O14" s="1" t="s">
        <v>69</v>
      </c>
    </row>
    <row r="15" spans="1:15">
      <c r="A15">
        <v>13</v>
      </c>
      <c r="B15" t="s">
        <v>106</v>
      </c>
      <c r="C15">
        <f t="shared" si="0"/>
        <v>3.4107843082748439E-2</v>
      </c>
      <c r="D15">
        <f t="shared" si="1"/>
        <v>-3.420239392705731E-2</v>
      </c>
      <c r="E15">
        <f t="shared" si="2"/>
        <v>9.008319506044327E-3</v>
      </c>
      <c r="F15">
        <f t="shared" si="3"/>
        <v>1.4291186054801893E-2</v>
      </c>
      <c r="G15" t="s">
        <v>70</v>
      </c>
      <c r="H15">
        <v>80483</v>
      </c>
      <c r="I15">
        <v>48</v>
      </c>
      <c r="J15">
        <v>48</v>
      </c>
      <c r="K15" t="s">
        <v>10</v>
      </c>
      <c r="L15" s="1" t="s">
        <v>71</v>
      </c>
      <c r="M15" s="1" t="s">
        <v>72</v>
      </c>
      <c r="N15" s="1" t="s">
        <v>73</v>
      </c>
      <c r="O15" s="1" t="s">
        <v>74</v>
      </c>
    </row>
    <row r="16" spans="1:15">
      <c r="A16">
        <v>14</v>
      </c>
      <c r="B16" t="s">
        <v>103</v>
      </c>
      <c r="C16">
        <f t="shared" si="0"/>
        <v>6.9254397237839601E-3</v>
      </c>
      <c r="D16">
        <f t="shared" si="1"/>
        <v>0.17028510301961719</v>
      </c>
      <c r="E16">
        <f t="shared" si="2"/>
        <v>-3.6857540427314766E-3</v>
      </c>
      <c r="F16">
        <f t="shared" si="3"/>
        <v>8.0725718623220373E-3</v>
      </c>
      <c r="G16" t="s">
        <v>75</v>
      </c>
      <c r="H16">
        <v>80483</v>
      </c>
      <c r="I16">
        <v>48</v>
      </c>
      <c r="J16">
        <v>48</v>
      </c>
      <c r="K16" t="s">
        <v>10</v>
      </c>
      <c r="L16" s="1" t="s">
        <v>76</v>
      </c>
      <c r="M16" s="1" t="s">
        <v>77</v>
      </c>
      <c r="N16">
        <v>0.34024947062048599</v>
      </c>
      <c r="O16" s="1" t="s">
        <v>108</v>
      </c>
    </row>
    <row r="17" spans="1:15">
      <c r="A17">
        <v>15</v>
      </c>
      <c r="B17" t="s">
        <v>107</v>
      </c>
      <c r="C17">
        <f t="shared" si="0"/>
        <v>1.4934933643910214E-2</v>
      </c>
      <c r="D17">
        <f t="shared" si="1"/>
        <v>0.20719989274214329</v>
      </c>
      <c r="E17">
        <f t="shared" si="2"/>
        <v>7.584392436059074E-3</v>
      </c>
      <c r="F17">
        <f t="shared" si="3"/>
        <v>2.1760284108411729E-2</v>
      </c>
      <c r="G17" t="s">
        <v>78</v>
      </c>
      <c r="H17">
        <v>80483</v>
      </c>
      <c r="I17">
        <v>48</v>
      </c>
      <c r="J17">
        <v>48</v>
      </c>
      <c r="K17" t="s">
        <v>10</v>
      </c>
      <c r="L17" s="1" t="s">
        <v>79</v>
      </c>
      <c r="M17" s="1" t="s">
        <v>80</v>
      </c>
      <c r="N17" s="1" t="s">
        <v>81</v>
      </c>
      <c r="O17" s="1" t="s">
        <v>82</v>
      </c>
    </row>
    <row r="18" spans="1:15">
      <c r="A18">
        <v>16</v>
      </c>
      <c r="B18" t="s">
        <v>105</v>
      </c>
      <c r="C18">
        <f t="shared" si="0"/>
        <v>7.4828623602154597E-5</v>
      </c>
      <c r="D18">
        <f t="shared" si="1"/>
        <v>0.26480282685707562</v>
      </c>
      <c r="E18">
        <f t="shared" si="2"/>
        <v>1.6730255934451477E-2</v>
      </c>
      <c r="F18">
        <f t="shared" si="3"/>
        <v>5.3533737747575964E-2</v>
      </c>
      <c r="G18" t="s">
        <v>83</v>
      </c>
      <c r="H18">
        <v>80483</v>
      </c>
      <c r="I18">
        <v>48</v>
      </c>
      <c r="J18">
        <v>48</v>
      </c>
      <c r="K18" t="s">
        <v>10</v>
      </c>
      <c r="L18" s="1" t="s">
        <v>84</v>
      </c>
      <c r="M18" s="1" t="s">
        <v>85</v>
      </c>
      <c r="N18">
        <v>0.33332844323822097</v>
      </c>
      <c r="O18" s="1" t="s">
        <v>86</v>
      </c>
    </row>
    <row r="19" spans="1:15">
      <c r="A19">
        <v>17</v>
      </c>
      <c r="B19" t="s">
        <v>106</v>
      </c>
      <c r="C19">
        <f t="shared" si="0"/>
        <v>5.9572591400319048E-3</v>
      </c>
      <c r="D19">
        <f t="shared" si="1"/>
        <v>-0.18994791519301302</v>
      </c>
      <c r="E19">
        <f t="shared" si="2"/>
        <v>9.3298414669646789E-3</v>
      </c>
      <c r="F19">
        <f t="shared" si="3"/>
        <v>3.0759939064972239E-2</v>
      </c>
      <c r="G19" t="s">
        <v>87</v>
      </c>
      <c r="H19">
        <v>80483</v>
      </c>
      <c r="I19">
        <v>48</v>
      </c>
      <c r="J19">
        <v>48</v>
      </c>
      <c r="K19" t="s">
        <v>10</v>
      </c>
      <c r="L19" s="1" t="s">
        <v>88</v>
      </c>
      <c r="M19" s="1" t="s">
        <v>89</v>
      </c>
      <c r="N19" s="1" t="s">
        <v>90</v>
      </c>
      <c r="O19" s="1" t="s">
        <v>91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results_feature_importance_v2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Wang</dc:creator>
  <cp:lastModifiedBy>Jing Wang</cp:lastModifiedBy>
  <dcterms:created xsi:type="dcterms:W3CDTF">2024-12-20T13:56:07Z</dcterms:created>
  <dcterms:modified xsi:type="dcterms:W3CDTF">2024-12-21T05:25:44Z</dcterms:modified>
</cp:coreProperties>
</file>